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2" documentId="11_AAFEFEAF82EA4B5AE8D0F703DD93866D7AA9C645" xr6:coauthVersionLast="47" xr6:coauthVersionMax="47" xr10:uidLastSave="{7F6A71FF-2F1A-4884-AE64-B150003EB7BC}"/>
  <bookViews>
    <workbookView xWindow="0" yWindow="0" windowWidth="16384" windowHeight="8192" tabRatio="500" xr2:uid="{00000000-000D-0000-FFFF-FFFF00000000}"/>
  </bookViews>
  <sheets>
    <sheet name="Read me" sheetId="1" r:id="rId1"/>
    <sheet name="Dashboard" sheetId="2" r:id="rId2"/>
    <sheet name="Event Info" sheetId="3" r:id="rId3"/>
    <sheet name="Roster" sheetId="4" r:id="rId4"/>
    <sheet name="Outcomes" sheetId="5" r:id="rId5"/>
    <sheet name="Pipelin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5" i="2"/>
  <c r="B14" i="2"/>
  <c r="B13" i="2"/>
  <c r="B12" i="2"/>
  <c r="B9" i="2"/>
  <c r="B7" i="2"/>
  <c r="B6" i="2"/>
  <c r="B5" i="2"/>
  <c r="B8" i="2" s="1"/>
</calcChain>
</file>

<file path=xl/sharedStrings.xml><?xml version="1.0" encoding="utf-8"?>
<sst xmlns="http://schemas.openxmlformats.org/spreadsheetml/2006/main" count="96" uniqueCount="86">
  <si>
    <t>AI Assurance — Partner MCP Day · Event Tracker</t>
  </si>
  <si>
    <t>One workbook per event (copy &amp; rename). Fill the coloured input cells; the Dashboard updates automatically.</t>
  </si>
  <si>
    <t>Tab</t>
  </si>
  <si>
    <t>What it's for</t>
  </si>
  <si>
    <t>How to use it</t>
  </si>
  <si>
    <t>Event Info</t>
  </si>
  <si>
    <t>Header details for this specific event</t>
  </si>
  <si>
    <t>Fill in name, date, region, venue, host. Feeds the Dashboard title.</t>
  </si>
  <si>
    <t>Roster</t>
  </si>
  <si>
    <t>Registration + attendance in one place</t>
  </si>
  <si>
    <t>One row per registrant. Set Attended = Yes/No on the day. Drives show-rate.</t>
  </si>
  <si>
    <t>Outcomes</t>
  </si>
  <si>
    <t>Per-attendee feedback &amp; follow-ups</t>
  </si>
  <si>
    <t>Log rating (1–5), the use case they cared about, and the follow-up owner + due date.</t>
  </si>
  <si>
    <t>Pipeline</t>
  </si>
  <si>
    <t>Demand &amp; opportunities generated</t>
  </si>
  <si>
    <t>One row per opportunity surfaced. Product, stage, est. value, AM, next step.</t>
  </si>
  <si>
    <t>Dashboard</t>
  </si>
  <si>
    <t>Auto-summary across the above</t>
  </si>
  <si>
    <t>Read-only. Reach, engagement, demand and pipeline value — all formula-driven.</t>
  </si>
  <si>
    <t>Legend:</t>
  </si>
  <si>
    <t>Blue cells = you type. White/grey = leave as is. Dashboard = do not edit (formulas).</t>
  </si>
  <si>
    <t>Event Dashboard</t>
  </si>
  <si>
    <t>Auto-summary — do not edit (formulas)</t>
  </si>
  <si>
    <t>Reach</t>
  </si>
  <si>
    <t>Registered (rows filled)</t>
  </si>
  <si>
    <t>Confirmed</t>
  </si>
  <si>
    <t>Attended</t>
  </si>
  <si>
    <t>Show rate</t>
  </si>
  <si>
    <t>Partner orgs represented</t>
  </si>
  <si>
    <t>Engagement</t>
  </si>
  <si>
    <t>Completed TE lab live</t>
  </si>
  <si>
    <t>Avg session rating (1–5)</t>
  </si>
  <si>
    <t>Follow-up actions logged</t>
  </si>
  <si>
    <t>Open follow-ups</t>
  </si>
  <si>
    <t>Demand / Pipeline</t>
  </si>
  <si>
    <t>Opportunities surfaced</t>
  </si>
  <si>
    <t>Qualified+ opportunities</t>
  </si>
  <si>
    <t>Total influenced pipeline</t>
  </si>
  <si>
    <t xml:space="preserve">  · ThousandEyes</t>
  </si>
  <si>
    <t xml:space="preserve">  · Meraki</t>
  </si>
  <si>
    <t xml:space="preserve">  · Splunk</t>
  </si>
  <si>
    <t>Closed-Won value</t>
  </si>
  <si>
    <t>Event Details</t>
  </si>
  <si>
    <t>Event name</t>
  </si>
  <si>
    <t>AI Assurance — Partner MCP Day</t>
  </si>
  <si>
    <t>Date</t>
  </si>
  <si>
    <t>Region / city</t>
  </si>
  <si>
    <t>Venue</t>
  </si>
  <si>
    <t>Host / organiser</t>
  </si>
  <si>
    <t>Modules running (TE &amp; Meraki required)</t>
  </si>
  <si>
    <t>ThousandEyes, Meraki</t>
  </si>
  <si>
    <t>Featured module (TE &amp; Meraki required)</t>
  </si>
  <si>
    <t>Splunk  /  MCP tool-building  /  none</t>
  </si>
  <si>
    <t>Seat cap</t>
  </si>
  <si>
    <t>30</t>
  </si>
  <si>
    <t>Registration &amp; Attendance</t>
  </si>
  <si>
    <t>One row per registrant. Set Attended on the day. Prereqs Done helps proctors prioritise setup help.</t>
  </si>
  <si>
    <t>#</t>
  </si>
  <si>
    <t>Partner Org</t>
  </si>
  <si>
    <t>Attendee Name</t>
  </si>
  <si>
    <t>Role / Title</t>
  </si>
  <si>
    <t>Email</t>
  </si>
  <si>
    <t>Account Manager</t>
  </si>
  <si>
    <t>Module Interest</t>
  </si>
  <si>
    <t>Registered</t>
  </si>
  <si>
    <t>Prereqs Done</t>
  </si>
  <si>
    <t>Demo License Needed</t>
  </si>
  <si>
    <t>Notes</t>
  </si>
  <si>
    <t>Outcomes &amp; Feedback</t>
  </si>
  <si>
    <t>Capture per attendee post-session. Rating 1–5. Each row should end with a concrete follow-up + owner.</t>
  </si>
  <si>
    <t>Session Rating (1–5)</t>
  </si>
  <si>
    <t>Completed TE Lab Live</t>
  </si>
  <si>
    <t>Key Use Case of Interest</t>
  </si>
  <si>
    <t>Follow-up Action</t>
  </si>
  <si>
    <t>Owner</t>
  </si>
  <si>
    <t>Due Date</t>
  </si>
  <si>
    <t>Status</t>
  </si>
  <si>
    <t>Pipeline &amp; Demand Generated</t>
  </si>
  <si>
    <t>One row per opportunity surfaced at the event. Est. Value drives the Dashboard total.</t>
  </si>
  <si>
    <t>Opportunity / Use Case</t>
  </si>
  <si>
    <t>Product</t>
  </si>
  <si>
    <t>Stage</t>
  </si>
  <si>
    <t>Est. Value ($)</t>
  </si>
  <si>
    <t>Next Step</t>
  </si>
  <si>
    <t>Target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</si>
</sst>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;&quot;($&quot;#,##0\);\-"/>
  </numFmts>
  <fonts count="10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10"/>
      <color rgb="FF5A6675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0A1F3C"/>
      <name val="Calibri"/>
      <charset val="1"/>
    </font>
    <font>
      <b/>
      <sz val="12"/>
      <color rgb="FF0792B5"/>
      <name val="Calibri"/>
      <charset val="1"/>
    </font>
    <font>
      <b/>
      <sz val="12"/>
      <color rgb="FF0A1F3C"/>
      <name val="Calibri"/>
      <charset val="1"/>
    </font>
    <font>
      <b/>
      <sz val="12"/>
      <color rgb="FFCC785C"/>
      <name val="Calibri"/>
      <charset val="1"/>
    </font>
    <font>
      <sz val="11"/>
      <color rgb="FF0000FF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A1F3C"/>
        <bgColor rgb="FF0D274D"/>
      </patternFill>
    </fill>
    <fill>
      <patternFill patternType="solid">
        <fgColor rgb="FFF2F4F6"/>
        <bgColor rgb="FFE6F7FC"/>
      </patternFill>
    </fill>
    <fill>
      <patternFill patternType="solid">
        <fgColor rgb="FFFFFFFF"/>
        <bgColor rgb="FFFBFCFD"/>
      </patternFill>
    </fill>
    <fill>
      <patternFill patternType="solid">
        <fgColor rgb="FFE6F7FC"/>
        <bgColor rgb="FFF2F4F6"/>
      </patternFill>
    </fill>
    <fill>
      <patternFill patternType="solid">
        <fgColor rgb="FFFBFCFD"/>
        <bgColor rgb="FFFFFFFF"/>
      </patternFill>
    </fill>
  </fills>
  <borders count="2">
    <border>
      <left/>
      <right/>
      <top/>
      <bottom/>
      <diagonal/>
    </border>
    <border>
      <left style="thin">
        <color rgb="FFCFD8DD"/>
      </left>
      <right style="thin">
        <color rgb="FFCFD8DD"/>
      </right>
      <top style="thin">
        <color rgb="FFCFD8DD"/>
      </top>
      <bottom style="thin">
        <color rgb="FFCFD8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5" borderId="1" xfId="0" applyFont="1" applyFill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166" fontId="7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2B5"/>
      <rgbColor rgb="FFC0C0C0"/>
      <rgbColor rgb="FF808080"/>
      <rgbColor rgb="FF9999FF"/>
      <rgbColor rgb="FF993366"/>
      <rgbColor rgb="FFFBFCFD"/>
      <rgbColor rgb="FFE6F7FC"/>
      <rgbColor rgb="FF660066"/>
      <rgbColor rgb="FFCC785C"/>
      <rgbColor rgb="FF0066CC"/>
      <rgbColor rgb="FFCFD8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EB"/>
      <rgbColor rgb="FFF2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5"/>
      <rgbColor rgb="FF969696"/>
      <rgbColor rgb="FF0D274D"/>
      <rgbColor rgb="FF339966"/>
      <rgbColor rgb="FF0A1F3C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F3C"/>
  </sheetPr>
  <dimension ref="A1:C11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40" customWidth="1"/>
    <col min="3" max="3" width="64" customWidth="1"/>
  </cols>
  <sheetData>
    <row r="1" spans="1:3" ht="30" customHeight="1">
      <c r="A1" s="1" t="s">
        <v>0</v>
      </c>
      <c r="B1" s="1"/>
      <c r="C1" s="1"/>
    </row>
    <row r="2" spans="1:3" ht="15" customHeight="1">
      <c r="A2" s="2" t="s">
        <v>1</v>
      </c>
    </row>
    <row r="4" spans="1:3" ht="15" customHeight="1">
      <c r="A4" s="3" t="s">
        <v>2</v>
      </c>
      <c r="B4" s="3" t="s">
        <v>3</v>
      </c>
      <c r="C4" s="3" t="s">
        <v>4</v>
      </c>
    </row>
    <row r="5" spans="1:3" ht="15" customHeight="1">
      <c r="A5" s="4" t="s">
        <v>5</v>
      </c>
      <c r="B5" s="4" t="s">
        <v>6</v>
      </c>
      <c r="C5" s="4" t="s">
        <v>7</v>
      </c>
    </row>
    <row r="6" spans="1:3" ht="23.25" customHeight="1">
      <c r="A6" s="5" t="s">
        <v>8</v>
      </c>
      <c r="B6" s="5" t="s">
        <v>9</v>
      </c>
      <c r="C6" s="5" t="s">
        <v>10</v>
      </c>
    </row>
    <row r="7" spans="1:3" ht="23.25" customHeight="1">
      <c r="A7" s="4" t="s">
        <v>11</v>
      </c>
      <c r="B7" s="4" t="s">
        <v>12</v>
      </c>
      <c r="C7" s="4" t="s">
        <v>13</v>
      </c>
    </row>
    <row r="8" spans="1:3" ht="23.25" customHeight="1">
      <c r="A8" s="5" t="s">
        <v>14</v>
      </c>
      <c r="B8" s="5" t="s">
        <v>15</v>
      </c>
      <c r="C8" s="5" t="s">
        <v>16</v>
      </c>
    </row>
    <row r="9" spans="1:3" ht="23.25" customHeight="1">
      <c r="A9" s="4" t="s">
        <v>17</v>
      </c>
      <c r="B9" s="4" t="s">
        <v>18</v>
      </c>
      <c r="C9" s="4" t="s">
        <v>19</v>
      </c>
    </row>
    <row r="11" spans="1:3" ht="15" customHeight="1">
      <c r="A11" s="6" t="s">
        <v>20</v>
      </c>
      <c r="B11" s="7" t="s">
        <v>21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CEB"/>
  </sheetPr>
  <dimension ref="A1:B24"/>
  <sheetViews>
    <sheetView showGridLines="0" zoomScaleNormal="100" workbookViewId="0"/>
  </sheetViews>
  <sheetFormatPr defaultColWidth="8.7109375" defaultRowHeight="15"/>
  <cols>
    <col min="1" max="1" width="30" customWidth="1"/>
    <col min="2" max="2" width="20" customWidth="1"/>
  </cols>
  <sheetData>
    <row r="1" spans="1:2" ht="30" customHeight="1">
      <c r="A1" s="1" t="s">
        <v>22</v>
      </c>
      <c r="B1" s="1"/>
    </row>
    <row r="2" spans="1:2" ht="15" customHeight="1">
      <c r="A2" s="2" t="s">
        <v>23</v>
      </c>
    </row>
    <row r="4" spans="1:2" ht="15" customHeight="1">
      <c r="A4" s="8" t="s">
        <v>24</v>
      </c>
    </row>
    <row r="5" spans="1:2" ht="15" customHeight="1">
      <c r="A5" s="9" t="s">
        <v>25</v>
      </c>
      <c r="B5" s="10">
        <f>COUNTA(Roster!C5:C44)</f>
        <v>0</v>
      </c>
    </row>
    <row r="6" spans="1:2" ht="15" customHeight="1">
      <c r="A6" s="9" t="s">
        <v>26</v>
      </c>
      <c r="B6" s="10">
        <f>COUNTIF(Roster!I5:I44,"Yes")</f>
        <v>0</v>
      </c>
    </row>
    <row r="7" spans="1:2" ht="15" customHeight="1">
      <c r="A7" s="9" t="s">
        <v>27</v>
      </c>
      <c r="B7" s="10">
        <f>COUNTIF(Roster!J5:J44,"Yes")</f>
        <v>0</v>
      </c>
    </row>
    <row r="8" spans="1:2" ht="15" customHeight="1">
      <c r="A8" s="9" t="s">
        <v>28</v>
      </c>
      <c r="B8" s="11">
        <f>IF(B5=0,0,B7/B5)</f>
        <v>0</v>
      </c>
    </row>
    <row r="9" spans="1:2" ht="15" customHeight="1">
      <c r="A9" s="9" t="s">
        <v>29</v>
      </c>
      <c r="B9" s="10">
        <f>SUMPRODUCT((Roster!B5:B44&lt;&gt;"")/COUNTIF(Roster!B5:B44,Roster!B5:B44&amp;""))</f>
        <v>0</v>
      </c>
    </row>
    <row r="11" spans="1:2" ht="15" customHeight="1">
      <c r="A11" s="8" t="s">
        <v>30</v>
      </c>
    </row>
    <row r="12" spans="1:2" ht="15" customHeight="1">
      <c r="A12" s="9" t="s">
        <v>31</v>
      </c>
      <c r="B12" s="10">
        <f>COUNTIF(Outcomes!F5:F44,"Yes")</f>
        <v>0</v>
      </c>
    </row>
    <row r="13" spans="1:2" ht="15" customHeight="1">
      <c r="A13" s="9" t="s">
        <v>32</v>
      </c>
      <c r="B13" s="12">
        <f>IFERROR(AVERAGE(Outcomes!E5:E44),0)</f>
        <v>0</v>
      </c>
    </row>
    <row r="14" spans="1:2" ht="15" customHeight="1">
      <c r="A14" s="9" t="s">
        <v>33</v>
      </c>
      <c r="B14" s="10">
        <f>COUNTA(Outcomes!H5:H44)</f>
        <v>0</v>
      </c>
    </row>
    <row r="15" spans="1:2" ht="15" customHeight="1">
      <c r="A15" s="9" t="s">
        <v>34</v>
      </c>
      <c r="B15" s="10">
        <f>COUNTIF(Outcomes!K5:K44,"Open")+COUNTIF(Outcomes!K5:K44,"In progress")</f>
        <v>0</v>
      </c>
    </row>
    <row r="17" spans="1:2" ht="15" customHeight="1">
      <c r="A17" s="13" t="s">
        <v>35</v>
      </c>
    </row>
    <row r="18" spans="1:2" ht="15" customHeight="1">
      <c r="A18" s="9" t="s">
        <v>36</v>
      </c>
      <c r="B18" s="10">
        <f>COUNTA(Pipeline!C5:C44)</f>
        <v>0</v>
      </c>
    </row>
    <row r="19" spans="1:2" ht="15" customHeight="1">
      <c r="A19" s="9" t="s">
        <v>37</v>
      </c>
      <c r="B19" s="10">
        <f>COUNTIF(Pipeline!E5:E44,"Qualified")+COUNTIF(Pipeline!E5:E44,"Proposal")+COUNTIF(Pipeline!E5:E44,"Trial/POV")+COUNTIF(Pipeline!E5:E44,"Closed-Won")</f>
        <v>0</v>
      </c>
    </row>
    <row r="20" spans="1:2" ht="15" customHeight="1">
      <c r="A20" s="9" t="s">
        <v>38</v>
      </c>
      <c r="B20" s="14">
        <f>SUM(Pipeline!F5:F44)</f>
        <v>0</v>
      </c>
    </row>
    <row r="21" spans="1:2" ht="15" customHeight="1">
      <c r="A21" s="9" t="s">
        <v>39</v>
      </c>
      <c r="B21" s="14">
        <f>SUMIF(Pipeline!D5:D44,"ThousandEyes",Pipeline!F5:F44)</f>
        <v>0</v>
      </c>
    </row>
    <row r="22" spans="1:2" ht="15" customHeight="1">
      <c r="A22" s="9" t="s">
        <v>40</v>
      </c>
      <c r="B22" s="14">
        <f>SUMIF(Pipeline!D5:D44,"Meraki",Pipeline!F5:F44)</f>
        <v>0</v>
      </c>
    </row>
    <row r="23" spans="1:2" ht="15" customHeight="1">
      <c r="A23" s="9" t="s">
        <v>41</v>
      </c>
      <c r="B23" s="14">
        <f>SUMIF(Pipeline!D5:D44,"Splunk",Pipeline!F5:F44)</f>
        <v>0</v>
      </c>
    </row>
    <row r="24" spans="1:2" ht="15" customHeight="1">
      <c r="A24" s="9" t="s">
        <v>42</v>
      </c>
      <c r="B24" s="14">
        <f>SUMIF(Pipeline!E5:E44,"Closed-Won",Pipeline!F5:F44)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785C"/>
  </sheetPr>
  <dimension ref="A1:B10"/>
  <sheetViews>
    <sheetView showGridLines="0" zoomScaleNormal="100" workbookViewId="0"/>
  </sheetViews>
  <sheetFormatPr defaultColWidth="8.7109375" defaultRowHeight="15"/>
  <cols>
    <col min="1" max="1" width="34" customWidth="1"/>
    <col min="2" max="2" width="44" customWidth="1"/>
  </cols>
  <sheetData>
    <row r="1" spans="1:2" ht="30" customHeight="1">
      <c r="A1" s="1" t="s">
        <v>43</v>
      </c>
      <c r="B1" s="1"/>
    </row>
    <row r="3" spans="1:2" ht="15" customHeight="1">
      <c r="A3" s="9" t="s">
        <v>44</v>
      </c>
      <c r="B3" s="15" t="s">
        <v>45</v>
      </c>
    </row>
    <row r="4" spans="1:2" ht="15" customHeight="1">
      <c r="A4" s="9" t="s">
        <v>46</v>
      </c>
      <c r="B4" s="15"/>
    </row>
    <row r="5" spans="1:2" ht="15" customHeight="1">
      <c r="A5" s="9" t="s">
        <v>47</v>
      </c>
      <c r="B5" s="15"/>
    </row>
    <row r="6" spans="1:2" ht="15" customHeight="1">
      <c r="A6" s="9" t="s">
        <v>48</v>
      </c>
      <c r="B6" s="15"/>
    </row>
    <row r="7" spans="1:2" ht="15" customHeight="1">
      <c r="A7" s="9" t="s">
        <v>49</v>
      </c>
      <c r="B7" s="15"/>
    </row>
    <row r="8" spans="1:2" ht="15" customHeight="1">
      <c r="A8" s="9" t="s">
        <v>50</v>
      </c>
      <c r="B8" s="15" t="s">
        <v>51</v>
      </c>
    </row>
    <row r="9" spans="1:2" ht="15" customHeight="1">
      <c r="A9" s="9" t="s">
        <v>52</v>
      </c>
      <c r="B9" s="15" t="s">
        <v>53</v>
      </c>
    </row>
    <row r="10" spans="1:2" ht="15" customHeight="1">
      <c r="A10" s="9" t="s">
        <v>54</v>
      </c>
      <c r="B10" s="15" t="s">
        <v>55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274D"/>
  </sheetPr>
  <dimension ref="A1:M4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3" width="22" customWidth="1"/>
    <col min="4" max="4" width="20" customWidth="1"/>
    <col min="5" max="5" width="26" customWidth="1"/>
    <col min="6" max="6" width="20" customWidth="1"/>
    <col min="7" max="7" width="18" customWidth="1"/>
    <col min="8" max="8" width="12" customWidth="1"/>
    <col min="9" max="10" width="11" customWidth="1"/>
    <col min="11" max="11" width="12" customWidth="1"/>
    <col min="12" max="12" width="16" customWidth="1"/>
    <col min="13" max="13" width="26" customWidth="1"/>
  </cols>
  <sheetData>
    <row r="1" spans="1:13" ht="30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57</v>
      </c>
    </row>
    <row r="4" spans="1:13" ht="23.25" customHeight="1">
      <c r="A4" s="16" t="s">
        <v>58</v>
      </c>
      <c r="B4" s="16" t="s">
        <v>59</v>
      </c>
      <c r="C4" s="16" t="s">
        <v>60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I4" s="16" t="s">
        <v>26</v>
      </c>
      <c r="J4" s="16" t="s">
        <v>27</v>
      </c>
      <c r="K4" s="16" t="s">
        <v>66</v>
      </c>
      <c r="L4" s="16" t="s">
        <v>67</v>
      </c>
      <c r="M4" s="16" t="s">
        <v>68</v>
      </c>
    </row>
    <row r="5" spans="1:13" ht="15" customHeight="1">
      <c r="A5" s="17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5" customHeight="1">
      <c r="A6" s="18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5" customHeight="1">
      <c r="A7" s="17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" customHeight="1">
      <c r="A8" s="18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" customHeight="1">
      <c r="A9" s="17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" customHeight="1">
      <c r="A10" s="18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" customHeight="1">
      <c r="A11" s="17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5" customHeight="1">
      <c r="A12" s="18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" customHeight="1">
      <c r="A13" s="17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5" customHeight="1">
      <c r="A14" s="18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" customHeight="1">
      <c r="A15" s="17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5" customHeight="1">
      <c r="A16" s="18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" customHeight="1">
      <c r="A17" s="17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5" customHeight="1">
      <c r="A18" s="18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" customHeight="1">
      <c r="A19" s="17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>
      <c r="A20" s="18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" customHeight="1">
      <c r="A21" s="17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18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" customHeight="1">
      <c r="A23" s="17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" customHeight="1">
      <c r="A24" s="18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" customHeight="1">
      <c r="A25" s="17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5" customHeight="1">
      <c r="A26" s="18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" customHeight="1">
      <c r="A27" s="17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" customHeight="1">
      <c r="A28" s="18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" customHeight="1">
      <c r="A29" s="17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5" customHeight="1">
      <c r="A30" s="18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" customHeight="1">
      <c r="A31" s="17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" customHeight="1">
      <c r="A32" s="18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" customHeight="1">
      <c r="A33" s="17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5" customHeight="1">
      <c r="A34" s="18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" customHeight="1">
      <c r="A35" s="17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5" customHeight="1">
      <c r="A36" s="18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5" customHeight="1">
      <c r="A37" s="17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" customHeight="1">
      <c r="A38" s="18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" customHeight="1">
      <c r="A39" s="17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5" customHeight="1">
      <c r="A40" s="18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5" customHeight="1">
      <c r="A41" s="17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5" customHeight="1">
      <c r="A42" s="18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" customHeight="1">
      <c r="A43" s="17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5" customHeight="1">
      <c r="A44" s="18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dataValidations count="2">
    <dataValidation type="list" allowBlank="1" sqref="J5:L44" xr:uid="{00000000-0002-0000-0300-000000000000}">
      <formula1>"Yes,No"</formula1>
      <formula2>0</formula2>
    </dataValidation>
    <dataValidation type="list" allowBlank="1" sqref="H5:I44" xr:uid="{00000000-0002-0000-0300-000001000000}">
      <formula1>"Yes,No,Pending"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274D"/>
  </sheetPr>
  <dimension ref="A1:K4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3" width="22" customWidth="1"/>
    <col min="4" max="4" width="20" customWidth="1"/>
    <col min="5" max="6" width="16" customWidth="1"/>
    <col min="7" max="8" width="30" customWidth="1"/>
    <col min="9" max="9" width="18" customWidth="1"/>
    <col min="10" max="11" width="14" customWidth="1"/>
  </cols>
  <sheetData>
    <row r="1" spans="1:11" ht="30" customHeight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70</v>
      </c>
    </row>
    <row r="4" spans="1:11" ht="23.25" customHeight="1">
      <c r="A4" s="16" t="s">
        <v>58</v>
      </c>
      <c r="B4" s="16" t="s">
        <v>59</v>
      </c>
      <c r="C4" s="16" t="s">
        <v>60</v>
      </c>
      <c r="D4" s="16" t="s">
        <v>63</v>
      </c>
      <c r="E4" s="16" t="s">
        <v>71</v>
      </c>
      <c r="F4" s="16" t="s">
        <v>72</v>
      </c>
      <c r="G4" s="16" t="s">
        <v>73</v>
      </c>
      <c r="H4" s="16" t="s">
        <v>74</v>
      </c>
      <c r="I4" s="16" t="s">
        <v>75</v>
      </c>
      <c r="J4" s="16" t="s">
        <v>76</v>
      </c>
      <c r="K4" s="16" t="s">
        <v>77</v>
      </c>
    </row>
    <row r="5" spans="1:11" ht="15" customHeight="1">
      <c r="A5" s="17">
        <v>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>
      <c r="A6" s="18">
        <v>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" customHeight="1">
      <c r="A7" s="17">
        <v>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>
      <c r="A8" s="18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" customHeight="1">
      <c r="A9" s="17">
        <v>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5" customHeight="1">
      <c r="A10" s="18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5" customHeight="1">
      <c r="A11" s="17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" customHeight="1">
      <c r="A12" s="18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5" customHeight="1">
      <c r="A13" s="17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 customHeight="1">
      <c r="A14" s="18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5" customHeight="1">
      <c r="A15" s="17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" customHeight="1">
      <c r="A16" s="18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" customHeight="1">
      <c r="A17" s="17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5" customHeight="1">
      <c r="A18" s="18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5" customHeight="1">
      <c r="A19" s="17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" customHeight="1">
      <c r="A20" s="18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" customHeight="1">
      <c r="A21" s="17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5" customHeight="1">
      <c r="A22" s="18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" customHeight="1">
      <c r="A23" s="17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5" customHeight="1">
      <c r="A24" s="18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" customHeight="1">
      <c r="A25" s="17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5" customHeight="1">
      <c r="A26" s="18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5" customHeight="1">
      <c r="A27" s="17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5" customHeight="1">
      <c r="A28" s="18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5" customHeight="1">
      <c r="A29" s="17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5" customHeight="1">
      <c r="A30" s="18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5" customHeight="1">
      <c r="A31" s="17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5" customHeight="1">
      <c r="A32" s="18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5" customHeight="1">
      <c r="A33" s="17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5" customHeight="1">
      <c r="A34" s="18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5" customHeight="1">
      <c r="A35" s="17">
        <v>31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5" customHeight="1">
      <c r="A36" s="18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5" customHeight="1">
      <c r="A37" s="17">
        <v>33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5" customHeight="1">
      <c r="A38" s="18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5" customHeight="1">
      <c r="A39" s="17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5" customHeight="1">
      <c r="A40" s="18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5" customHeight="1">
      <c r="A41" s="17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5" customHeight="1">
      <c r="A42" s="18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customHeight="1">
      <c r="A43" s="17">
        <v>39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5" customHeight="1">
      <c r="A44" s="18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</row>
  </sheetData>
  <dataValidations count="3">
    <dataValidation type="whole" allowBlank="1" sqref="E5:E44" xr:uid="{00000000-0002-0000-0400-000000000000}">
      <formula1>1</formula1>
      <formula2>5</formula2>
    </dataValidation>
    <dataValidation type="list" allowBlank="1" sqref="F5:F44" xr:uid="{00000000-0002-0000-0400-000001000000}">
      <formula1>"Yes,No,Partial"</formula1>
      <formula2>0</formula2>
    </dataValidation>
    <dataValidation type="list" allowBlank="1" sqref="K5:K44" xr:uid="{00000000-0002-0000-0400-000002000000}">
      <formula1>"Open,In progress,Done,No action"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274D"/>
  </sheetPr>
  <dimension ref="A1:J4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2" customWidth="1"/>
    <col min="3" max="3" width="32" customWidth="1"/>
    <col min="4" max="4" width="16" customWidth="1"/>
    <col min="5" max="5" width="18" customWidth="1"/>
    <col min="6" max="6" width="16" customWidth="1"/>
    <col min="7" max="7" width="20" customWidth="1"/>
    <col min="8" max="8" width="30" customWidth="1"/>
    <col min="9" max="10" width="14" customWidth="1"/>
  </cols>
  <sheetData>
    <row r="1" spans="1:10" ht="30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2" t="s">
        <v>79</v>
      </c>
    </row>
    <row r="4" spans="1:10" ht="15" customHeight="1">
      <c r="A4" s="16" t="s">
        <v>58</v>
      </c>
      <c r="B4" s="16" t="s">
        <v>59</v>
      </c>
      <c r="C4" s="16" t="s">
        <v>80</v>
      </c>
      <c r="D4" s="16" t="s">
        <v>81</v>
      </c>
      <c r="E4" s="16" t="s">
        <v>82</v>
      </c>
      <c r="F4" s="16" t="s">
        <v>83</v>
      </c>
      <c r="G4" s="16" t="s">
        <v>63</v>
      </c>
      <c r="H4" s="16" t="s">
        <v>84</v>
      </c>
      <c r="I4" s="16" t="s">
        <v>85</v>
      </c>
      <c r="J4" s="16" t="s">
        <v>77</v>
      </c>
    </row>
    <row r="5" spans="1:10" ht="15" customHeight="1">
      <c r="A5" s="17">
        <v>1</v>
      </c>
      <c r="B5" s="5"/>
      <c r="C5" s="5"/>
      <c r="D5" s="5"/>
      <c r="E5" s="5"/>
      <c r="F5" s="19"/>
      <c r="G5" s="5"/>
      <c r="H5" s="5"/>
      <c r="I5" s="5"/>
      <c r="J5" s="5"/>
    </row>
    <row r="6" spans="1:10" ht="15" customHeight="1">
      <c r="A6" s="18">
        <v>2</v>
      </c>
      <c r="B6" s="4"/>
      <c r="C6" s="4"/>
      <c r="D6" s="4"/>
      <c r="E6" s="4"/>
      <c r="F6" s="20"/>
      <c r="G6" s="4"/>
      <c r="H6" s="4"/>
      <c r="I6" s="4"/>
      <c r="J6" s="4"/>
    </row>
    <row r="7" spans="1:10" ht="15" customHeight="1">
      <c r="A7" s="17">
        <v>3</v>
      </c>
      <c r="B7" s="5"/>
      <c r="C7" s="5"/>
      <c r="D7" s="5"/>
      <c r="E7" s="5"/>
      <c r="F7" s="19"/>
      <c r="G7" s="5"/>
      <c r="H7" s="5"/>
      <c r="I7" s="5"/>
      <c r="J7" s="5"/>
    </row>
    <row r="8" spans="1:10" ht="15" customHeight="1">
      <c r="A8" s="18">
        <v>4</v>
      </c>
      <c r="B8" s="4"/>
      <c r="C8" s="4"/>
      <c r="D8" s="4"/>
      <c r="E8" s="4"/>
      <c r="F8" s="20"/>
      <c r="G8" s="4"/>
      <c r="H8" s="4"/>
      <c r="I8" s="4"/>
      <c r="J8" s="4"/>
    </row>
    <row r="9" spans="1:10" ht="15" customHeight="1">
      <c r="A9" s="17">
        <v>5</v>
      </c>
      <c r="B9" s="5"/>
      <c r="C9" s="5"/>
      <c r="D9" s="5"/>
      <c r="E9" s="5"/>
      <c r="F9" s="19"/>
      <c r="G9" s="5"/>
      <c r="H9" s="5"/>
      <c r="I9" s="5"/>
      <c r="J9" s="5"/>
    </row>
    <row r="10" spans="1:10" ht="15" customHeight="1">
      <c r="A10" s="18">
        <v>6</v>
      </c>
      <c r="B10" s="4"/>
      <c r="C10" s="4"/>
      <c r="D10" s="4"/>
      <c r="E10" s="4"/>
      <c r="F10" s="20"/>
      <c r="G10" s="4"/>
      <c r="H10" s="4"/>
      <c r="I10" s="4"/>
      <c r="J10" s="4"/>
    </row>
    <row r="11" spans="1:10" ht="15" customHeight="1">
      <c r="A11" s="17">
        <v>7</v>
      </c>
      <c r="B11" s="5"/>
      <c r="C11" s="5"/>
      <c r="D11" s="5"/>
      <c r="E11" s="5"/>
      <c r="F11" s="19"/>
      <c r="G11" s="5"/>
      <c r="H11" s="5"/>
      <c r="I11" s="5"/>
      <c r="J11" s="5"/>
    </row>
    <row r="12" spans="1:10" ht="15" customHeight="1">
      <c r="A12" s="18">
        <v>8</v>
      </c>
      <c r="B12" s="4"/>
      <c r="C12" s="4"/>
      <c r="D12" s="4"/>
      <c r="E12" s="4"/>
      <c r="F12" s="20"/>
      <c r="G12" s="4"/>
      <c r="H12" s="4"/>
      <c r="I12" s="4"/>
      <c r="J12" s="4"/>
    </row>
    <row r="13" spans="1:10" ht="15" customHeight="1">
      <c r="A13" s="17">
        <v>9</v>
      </c>
      <c r="B13" s="5"/>
      <c r="C13" s="5"/>
      <c r="D13" s="5"/>
      <c r="E13" s="5"/>
      <c r="F13" s="19"/>
      <c r="G13" s="5"/>
      <c r="H13" s="5"/>
      <c r="I13" s="5"/>
      <c r="J13" s="5"/>
    </row>
    <row r="14" spans="1:10" ht="15" customHeight="1">
      <c r="A14" s="18">
        <v>10</v>
      </c>
      <c r="B14" s="4"/>
      <c r="C14" s="4"/>
      <c r="D14" s="4"/>
      <c r="E14" s="4"/>
      <c r="F14" s="20"/>
      <c r="G14" s="4"/>
      <c r="H14" s="4"/>
      <c r="I14" s="4"/>
      <c r="J14" s="4"/>
    </row>
    <row r="15" spans="1:10" ht="15" customHeight="1">
      <c r="A15" s="17">
        <v>11</v>
      </c>
      <c r="B15" s="5"/>
      <c r="C15" s="5"/>
      <c r="D15" s="5"/>
      <c r="E15" s="5"/>
      <c r="F15" s="19"/>
      <c r="G15" s="5"/>
      <c r="H15" s="5"/>
      <c r="I15" s="5"/>
      <c r="J15" s="5"/>
    </row>
    <row r="16" spans="1:10" ht="15" customHeight="1">
      <c r="A16" s="18">
        <v>12</v>
      </c>
      <c r="B16" s="4"/>
      <c r="C16" s="4"/>
      <c r="D16" s="4"/>
      <c r="E16" s="4"/>
      <c r="F16" s="20"/>
      <c r="G16" s="4"/>
      <c r="H16" s="4"/>
      <c r="I16" s="4"/>
      <c r="J16" s="4"/>
    </row>
    <row r="17" spans="1:10" ht="15" customHeight="1">
      <c r="A17" s="17">
        <v>13</v>
      </c>
      <c r="B17" s="5"/>
      <c r="C17" s="5"/>
      <c r="D17" s="5"/>
      <c r="E17" s="5"/>
      <c r="F17" s="19"/>
      <c r="G17" s="5"/>
      <c r="H17" s="5"/>
      <c r="I17" s="5"/>
      <c r="J17" s="5"/>
    </row>
    <row r="18" spans="1:10" ht="15" customHeight="1">
      <c r="A18" s="18">
        <v>14</v>
      </c>
      <c r="B18" s="4"/>
      <c r="C18" s="4"/>
      <c r="D18" s="4"/>
      <c r="E18" s="4"/>
      <c r="F18" s="20"/>
      <c r="G18" s="4"/>
      <c r="H18" s="4"/>
      <c r="I18" s="4"/>
      <c r="J18" s="4"/>
    </row>
    <row r="19" spans="1:10" ht="15" customHeight="1">
      <c r="A19" s="17">
        <v>15</v>
      </c>
      <c r="B19" s="5"/>
      <c r="C19" s="5"/>
      <c r="D19" s="5"/>
      <c r="E19" s="5"/>
      <c r="F19" s="19"/>
      <c r="G19" s="5"/>
      <c r="H19" s="5"/>
      <c r="I19" s="5"/>
      <c r="J19" s="5"/>
    </row>
    <row r="20" spans="1:10" ht="15" customHeight="1">
      <c r="A20" s="18">
        <v>16</v>
      </c>
      <c r="B20" s="4"/>
      <c r="C20" s="4"/>
      <c r="D20" s="4"/>
      <c r="E20" s="4"/>
      <c r="F20" s="20"/>
      <c r="G20" s="4"/>
      <c r="H20" s="4"/>
      <c r="I20" s="4"/>
      <c r="J20" s="4"/>
    </row>
    <row r="21" spans="1:10" ht="15" customHeight="1">
      <c r="A21" s="17">
        <v>17</v>
      </c>
      <c r="B21" s="5"/>
      <c r="C21" s="5"/>
      <c r="D21" s="5"/>
      <c r="E21" s="5"/>
      <c r="F21" s="19"/>
      <c r="G21" s="5"/>
      <c r="H21" s="5"/>
      <c r="I21" s="5"/>
      <c r="J21" s="5"/>
    </row>
    <row r="22" spans="1:10" ht="15" customHeight="1">
      <c r="A22" s="18">
        <v>18</v>
      </c>
      <c r="B22" s="4"/>
      <c r="C22" s="4"/>
      <c r="D22" s="4"/>
      <c r="E22" s="4"/>
      <c r="F22" s="20"/>
      <c r="G22" s="4"/>
      <c r="H22" s="4"/>
      <c r="I22" s="4"/>
      <c r="J22" s="4"/>
    </row>
    <row r="23" spans="1:10" ht="15" customHeight="1">
      <c r="A23" s="17">
        <v>19</v>
      </c>
      <c r="B23" s="5"/>
      <c r="C23" s="5"/>
      <c r="D23" s="5"/>
      <c r="E23" s="5"/>
      <c r="F23" s="19"/>
      <c r="G23" s="5"/>
      <c r="H23" s="5"/>
      <c r="I23" s="5"/>
      <c r="J23" s="5"/>
    </row>
    <row r="24" spans="1:10" ht="15" customHeight="1">
      <c r="A24" s="18">
        <v>20</v>
      </c>
      <c r="B24" s="4"/>
      <c r="C24" s="4"/>
      <c r="D24" s="4"/>
      <c r="E24" s="4"/>
      <c r="F24" s="20"/>
      <c r="G24" s="4"/>
      <c r="H24" s="4"/>
      <c r="I24" s="4"/>
      <c r="J24" s="4"/>
    </row>
    <row r="25" spans="1:10" ht="15" customHeight="1">
      <c r="A25" s="17">
        <v>21</v>
      </c>
      <c r="B25" s="5"/>
      <c r="C25" s="5"/>
      <c r="D25" s="5"/>
      <c r="E25" s="5"/>
      <c r="F25" s="19"/>
      <c r="G25" s="5"/>
      <c r="H25" s="5"/>
      <c r="I25" s="5"/>
      <c r="J25" s="5"/>
    </row>
    <row r="26" spans="1:10" ht="15" customHeight="1">
      <c r="A26" s="18">
        <v>22</v>
      </c>
      <c r="B26" s="4"/>
      <c r="C26" s="4"/>
      <c r="D26" s="4"/>
      <c r="E26" s="4"/>
      <c r="F26" s="20"/>
      <c r="G26" s="4"/>
      <c r="H26" s="4"/>
      <c r="I26" s="4"/>
      <c r="J26" s="4"/>
    </row>
    <row r="27" spans="1:10" ht="15" customHeight="1">
      <c r="A27" s="17">
        <v>23</v>
      </c>
      <c r="B27" s="5"/>
      <c r="C27" s="5"/>
      <c r="D27" s="5"/>
      <c r="E27" s="5"/>
      <c r="F27" s="19"/>
      <c r="G27" s="5"/>
      <c r="H27" s="5"/>
      <c r="I27" s="5"/>
      <c r="J27" s="5"/>
    </row>
    <row r="28" spans="1:10" ht="15" customHeight="1">
      <c r="A28" s="18">
        <v>24</v>
      </c>
      <c r="B28" s="4"/>
      <c r="C28" s="4"/>
      <c r="D28" s="4"/>
      <c r="E28" s="4"/>
      <c r="F28" s="20"/>
      <c r="G28" s="4"/>
      <c r="H28" s="4"/>
      <c r="I28" s="4"/>
      <c r="J28" s="4"/>
    </row>
    <row r="29" spans="1:10" ht="15" customHeight="1">
      <c r="A29" s="17">
        <v>25</v>
      </c>
      <c r="B29" s="5"/>
      <c r="C29" s="5"/>
      <c r="D29" s="5"/>
      <c r="E29" s="5"/>
      <c r="F29" s="19"/>
      <c r="G29" s="5"/>
      <c r="H29" s="5"/>
      <c r="I29" s="5"/>
      <c r="J29" s="5"/>
    </row>
    <row r="30" spans="1:10" ht="15" customHeight="1">
      <c r="A30" s="18">
        <v>26</v>
      </c>
      <c r="B30" s="4"/>
      <c r="C30" s="4"/>
      <c r="D30" s="4"/>
      <c r="E30" s="4"/>
      <c r="F30" s="20"/>
      <c r="G30" s="4"/>
      <c r="H30" s="4"/>
      <c r="I30" s="4"/>
      <c r="J30" s="4"/>
    </row>
    <row r="31" spans="1:10" ht="15" customHeight="1">
      <c r="A31" s="17">
        <v>27</v>
      </c>
      <c r="B31" s="5"/>
      <c r="C31" s="5"/>
      <c r="D31" s="5"/>
      <c r="E31" s="5"/>
      <c r="F31" s="19"/>
      <c r="G31" s="5"/>
      <c r="H31" s="5"/>
      <c r="I31" s="5"/>
      <c r="J31" s="5"/>
    </row>
    <row r="32" spans="1:10" ht="15" customHeight="1">
      <c r="A32" s="18">
        <v>28</v>
      </c>
      <c r="B32" s="4"/>
      <c r="C32" s="4"/>
      <c r="D32" s="4"/>
      <c r="E32" s="4"/>
      <c r="F32" s="20"/>
      <c r="G32" s="4"/>
      <c r="H32" s="4"/>
      <c r="I32" s="4"/>
      <c r="J32" s="4"/>
    </row>
    <row r="33" spans="1:10" ht="15" customHeight="1">
      <c r="A33" s="17">
        <v>29</v>
      </c>
      <c r="B33" s="5"/>
      <c r="C33" s="5"/>
      <c r="D33" s="5"/>
      <c r="E33" s="5"/>
      <c r="F33" s="19"/>
      <c r="G33" s="5"/>
      <c r="H33" s="5"/>
      <c r="I33" s="5"/>
      <c r="J33" s="5"/>
    </row>
    <row r="34" spans="1:10" ht="15" customHeight="1">
      <c r="A34" s="18">
        <v>30</v>
      </c>
      <c r="B34" s="4"/>
      <c r="C34" s="4"/>
      <c r="D34" s="4"/>
      <c r="E34" s="4"/>
      <c r="F34" s="20"/>
      <c r="G34" s="4"/>
      <c r="H34" s="4"/>
      <c r="I34" s="4"/>
      <c r="J34" s="4"/>
    </row>
    <row r="35" spans="1:10" ht="15" customHeight="1">
      <c r="A35" s="17">
        <v>31</v>
      </c>
      <c r="B35" s="5"/>
      <c r="C35" s="5"/>
      <c r="D35" s="5"/>
      <c r="E35" s="5"/>
      <c r="F35" s="19"/>
      <c r="G35" s="5"/>
      <c r="H35" s="5"/>
      <c r="I35" s="5"/>
      <c r="J35" s="5"/>
    </row>
    <row r="36" spans="1:10" ht="15" customHeight="1">
      <c r="A36" s="18">
        <v>32</v>
      </c>
      <c r="B36" s="4"/>
      <c r="C36" s="4"/>
      <c r="D36" s="4"/>
      <c r="E36" s="4"/>
      <c r="F36" s="20"/>
      <c r="G36" s="4"/>
      <c r="H36" s="4"/>
      <c r="I36" s="4"/>
      <c r="J36" s="4"/>
    </row>
    <row r="37" spans="1:10" ht="15" customHeight="1">
      <c r="A37" s="17">
        <v>33</v>
      </c>
      <c r="B37" s="5"/>
      <c r="C37" s="5"/>
      <c r="D37" s="5"/>
      <c r="E37" s="5"/>
      <c r="F37" s="19"/>
      <c r="G37" s="5"/>
      <c r="H37" s="5"/>
      <c r="I37" s="5"/>
      <c r="J37" s="5"/>
    </row>
    <row r="38" spans="1:10" ht="15" customHeight="1">
      <c r="A38" s="18">
        <v>34</v>
      </c>
      <c r="B38" s="4"/>
      <c r="C38" s="4"/>
      <c r="D38" s="4"/>
      <c r="E38" s="4"/>
      <c r="F38" s="20"/>
      <c r="G38" s="4"/>
      <c r="H38" s="4"/>
      <c r="I38" s="4"/>
      <c r="J38" s="4"/>
    </row>
    <row r="39" spans="1:10" ht="15" customHeight="1">
      <c r="A39" s="17">
        <v>35</v>
      </c>
      <c r="B39" s="5"/>
      <c r="C39" s="5"/>
      <c r="D39" s="5"/>
      <c r="E39" s="5"/>
      <c r="F39" s="19"/>
      <c r="G39" s="5"/>
      <c r="H39" s="5"/>
      <c r="I39" s="5"/>
      <c r="J39" s="5"/>
    </row>
    <row r="40" spans="1:10" ht="15" customHeight="1">
      <c r="A40" s="18">
        <v>36</v>
      </c>
      <c r="B40" s="4"/>
      <c r="C40" s="4"/>
      <c r="D40" s="4"/>
      <c r="E40" s="4"/>
      <c r="F40" s="20"/>
      <c r="G40" s="4"/>
      <c r="H40" s="4"/>
      <c r="I40" s="4"/>
      <c r="J40" s="4"/>
    </row>
    <row r="41" spans="1:10" ht="15" customHeight="1">
      <c r="A41" s="17">
        <v>37</v>
      </c>
      <c r="B41" s="5"/>
      <c r="C41" s="5"/>
      <c r="D41" s="5"/>
      <c r="E41" s="5"/>
      <c r="F41" s="19"/>
      <c r="G41" s="5"/>
      <c r="H41" s="5"/>
      <c r="I41" s="5"/>
      <c r="J41" s="5"/>
    </row>
    <row r="42" spans="1:10" ht="15" customHeight="1">
      <c r="A42" s="18">
        <v>38</v>
      </c>
      <c r="B42" s="4"/>
      <c r="C42" s="4"/>
      <c r="D42" s="4"/>
      <c r="E42" s="4"/>
      <c r="F42" s="20"/>
      <c r="G42" s="4"/>
      <c r="H42" s="4"/>
      <c r="I42" s="4"/>
      <c r="J42" s="4"/>
    </row>
    <row r="43" spans="1:10" ht="15" customHeight="1">
      <c r="A43" s="17">
        <v>39</v>
      </c>
      <c r="B43" s="5"/>
      <c r="C43" s="5"/>
      <c r="D43" s="5"/>
      <c r="E43" s="5"/>
      <c r="F43" s="19"/>
      <c r="G43" s="5"/>
      <c r="H43" s="5"/>
      <c r="I43" s="5"/>
      <c r="J43" s="5"/>
    </row>
    <row r="44" spans="1:10" ht="15" customHeight="1">
      <c r="A44" s="18">
        <v>40</v>
      </c>
      <c r="B44" s="4"/>
      <c r="C44" s="4"/>
      <c r="D44" s="4"/>
      <c r="E44" s="4"/>
      <c r="F44" s="20"/>
      <c r="G44" s="4"/>
      <c r="H44" s="4"/>
      <c r="I44" s="4"/>
      <c r="J44" s="4"/>
    </row>
  </sheetData>
  <dataValidations count="3">
    <dataValidation type="list" allowBlank="1" sqref="D5:D44" xr:uid="{00000000-0002-0000-0500-000000000000}">
      <formula1>"ThousandEyes,Meraki,Splunk,Multiple,Other"</formula1>
      <formula2>0</formula2>
    </dataValidation>
    <dataValidation type="list" allowBlank="1" sqref="E5:E44" xr:uid="{00000000-0002-0000-0500-000001000000}">
      <formula1>"Interest,Qualified,Proposal,Trial/POV,Closed-Won,Closed-Lost"</formula1>
      <formula2>0</formula2>
    </dataValidation>
    <dataValidation type="list" allowBlank="1" sqref="J5:J44" xr:uid="{00000000-0002-0000-0500-000002000000}">
      <formula1>"Open,Working,Won,Lost,On hold"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&amp;R_x000D_&amp;1#&amp;"Aptos"&amp;8&amp;K000000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9a699-b481-47ad-860f-07b21d901613">
      <Terms xmlns="http://schemas.microsoft.com/office/infopath/2007/PartnerControls"/>
    </lcf76f155ced4ddcb4097134ff3c332f>
    <TaxCatchAll xmlns="1f7b5849-d0a0-44d9-9a32-3b8a1a75f3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BEE7A82EFF80459FB78B2AEF2047B1" ma:contentTypeVersion="20" ma:contentTypeDescription="Create a new document." ma:contentTypeScope="" ma:versionID="8c73bcd14e6fe787c9f8c7d18f27847b">
  <xsd:schema xmlns:xsd="http://www.w3.org/2001/XMLSchema" xmlns:xs="http://www.w3.org/2001/XMLSchema" xmlns:p="http://schemas.microsoft.com/office/2006/metadata/properties" xmlns:ns2="3459a699-b481-47ad-860f-07b21d901613" xmlns:ns3="1f7b5849-d0a0-44d9-9a32-3b8a1a75f360" targetNamespace="http://schemas.microsoft.com/office/2006/metadata/properties" ma:root="true" ma:fieldsID="5077c1de267fe35f3bd25942216fb10c" ns2:_="" ns3:_="">
    <xsd:import namespace="3459a699-b481-47ad-860f-07b21d901613"/>
    <xsd:import namespace="1f7b5849-d0a0-44d9-9a32-3b8a1a75f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9a699-b481-47ad-860f-07b21d901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b5849-d0a0-44d9-9a32-3b8a1a75f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43127e-b2c5-4db8-bbf2-6d1bb59d1a49}" ma:internalName="TaxCatchAll" ma:showField="CatchAllData" ma:web="1f7b5849-d0a0-44d9-9a32-3b8a1a75f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4E1B49-C4FA-4151-ADD4-7BC4CD069F5D}"/>
</file>

<file path=customXml/itemProps2.xml><?xml version="1.0" encoding="utf-8"?>
<ds:datastoreItem xmlns:ds="http://schemas.openxmlformats.org/officeDocument/2006/customXml" ds:itemID="{2132EAFA-4055-42B5-8196-46E99A590577}"/>
</file>

<file path=customXml/itemProps3.xml><?xml version="1.0" encoding="utf-8"?>
<ds:datastoreItem xmlns:ds="http://schemas.openxmlformats.org/officeDocument/2006/customXml" ds:itemID="{94DDACB2-CD0E-4430-A2E4-DF309FF5CE2F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Scott Eddy (sceddy)</cp:lastModifiedBy>
  <cp:revision>0</cp:revision>
  <dcterms:created xsi:type="dcterms:W3CDTF">2026-06-09T19:07:00Z</dcterms:created>
  <dcterms:modified xsi:type="dcterms:W3CDTF">2026-06-11T20:36:48Z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0x01010093BEE7A82EFF80459FB78B2AEF2047B1</vt:lpwstr>
  </property>
  <property fmtid="{D5CDD505-2E9C-101B-9397-08002B2CF9AE}" pid="3" name="MediaServiceImageTags">
    <vt:lpwstr/>
  </property>
</Properties>
</file>